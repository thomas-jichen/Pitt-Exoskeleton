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mc:AlternateContent xmlns:mc="http://schemas.openxmlformats.org/markup-compatibility/2006">
    <mc:Choice Requires="x15">
      <x15ac:absPath xmlns:x15ac="http://schemas.microsoft.com/office/spreadsheetml/2010/11/ac" url="https://pitt.sharepoint.com/sites/keeogoproject/Shared Documents/References/Insole + Knee OA Gait Analysis Literature Review/"/>
    </mc:Choice>
  </mc:AlternateContent>
  <xr:revisionPtr revIDLastSave="0" documentId="8_{753432A3-B116-48C4-841D-5468832D8F6D}" xr6:coauthVersionLast="47" xr6:coauthVersionMax="47" xr10:uidLastSave="{00000000-0000-0000-0000-000000000000}"/>
  <bookViews>
    <workbookView xWindow="0" yWindow="620" windowWidth="35840" windowHeight="21780" firstSheet="1" activeTab="1" xr2:uid="{00000000-000D-0000-FFFF-FFFF00000000}"/>
  </bookViews>
  <sheets>
    <sheet name="Insole+Knee OA Parameters" sheetId="1" r:id="rId1"/>
    <sheet name="Priortiy Reasoning" sheetId="3" r:id="rId2"/>
    <sheet name="Cautious Walking Parameter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<sst xmlns="http://schemas.openxmlformats.org/spreadsheetml/2006/main" count="260" uniqueCount="195">
  <si>
    <t>Parameter</t>
  </si>
  <si>
    <t>Definition (Intuitive)</t>
  </si>
  <si>
    <t>Healthy Range &amp; Meaning</t>
  </si>
  <si>
    <t>Large vs Small?</t>
  </si>
  <si>
    <t>How Source Used It</t>
  </si>
  <si>
    <t>Application for Keeogo</t>
  </si>
  <si>
    <t>Source(s)</t>
  </si>
  <si>
    <t>Priority</t>
  </si>
  <si>
    <t>%PFP (regional % peak plantar force)</t>
  </si>
  <si>
    <t>How much body weight is borne by each region of the foot</t>
  </si>
  <si>
    <r>
      <t>Heel:</t>
    </r>
    <r>
      <rPr>
        <sz val="12"/>
        <color theme="1"/>
        <rFont val="Times New Roman"/>
        <family val="1"/>
      </rPr>
      <t xml:space="preserve"> 20–25% BW; </t>
    </r>
    <r>
      <rPr>
        <b/>
        <sz val="12"/>
        <color theme="1"/>
        <rFont val="Times New Roman"/>
        <family val="1"/>
      </rPr>
      <t>Forefoot:</t>
    </r>
    <r>
      <rPr>
        <sz val="12"/>
        <color theme="1"/>
        <rFont val="Times New Roman"/>
        <family val="1"/>
      </rPr>
      <t xml:space="preserve"> 35–40% BW → balanced heel→toe rollover.</t>
    </r>
  </si>
  <si>
    <t>Correct distribution matters; too much heel = weak push-off</t>
  </si>
  <si>
    <t>Hsu 2022: compared heel vs forefoot distribution; Muñoz-Organero 2017: KOA had ↓ forefoot/toe pressures, ↑ midfoot loading</t>
  </si>
  <si>
    <t>If Keeogo helps, expect more normal forward shift (↑ forefoot, ↓ heel)</t>
  </si>
  <si>
    <t>Hsu 2022; Muñoz-Organero 2017</t>
  </si>
  <si>
    <t>Moderate</t>
  </si>
  <si>
    <t>Impulse (force–time integral)</t>
  </si>
  <si>
    <t>Total load over time in a foot region during stance</t>
  </si>
  <si>
    <r>
      <t>Forefoot/toe impulse:</t>
    </r>
    <r>
      <rPr>
        <sz val="12"/>
        <color theme="1"/>
        <rFont val="Times New Roman"/>
        <family val="1"/>
      </rPr>
      <t xml:space="preserve"> ~</t>
    </r>
    <r>
      <rPr>
        <b/>
        <sz val="12"/>
        <color theme="1"/>
        <rFont val="Times New Roman"/>
        <family val="1"/>
      </rPr>
      <t>0.15–0.30 BW·s</t>
    </r>
    <r>
      <rPr>
        <sz val="12"/>
        <color theme="1"/>
        <rFont val="Times New Roman"/>
        <family val="1"/>
      </rPr>
      <t xml:space="preserve"> per step at push-off; improvement target </t>
    </r>
    <r>
      <rPr>
        <b/>
        <sz val="12"/>
        <color theme="1"/>
        <rFont val="Times New Roman"/>
        <family val="1"/>
      </rPr>
      <t>+10–20%</t>
    </r>
    <r>
      <rPr>
        <sz val="12"/>
        <color theme="1"/>
        <rFont val="Times New Roman"/>
        <family val="1"/>
      </rPr>
      <t xml:space="preserve"> vs baseline (matched speed).</t>
    </r>
  </si>
  <si>
    <t>Higher in forefoot push-off is better</t>
  </si>
  <si>
    <t>Li 2024: compared impulse in ROA vs non-ROA; Muñoz-Organero 2017: KOA showed ↓ forefoot/toe impulse</t>
  </si>
  <si>
    <t>Keeogo should ↑ propulsion impulse at forefoot/toes</t>
  </si>
  <si>
    <t>Li 2024; Muñoz-Organero 2017</t>
  </si>
  <si>
    <t>High</t>
  </si>
  <si>
    <t>COP %Long (AP excursion)</t>
  </si>
  <si>
    <t>How far pressure moves forward across the foot (heel → toe)</t>
  </si>
  <si>
    <t xml:space="preserve">80–85% of foot length (complete heel→toe progression). </t>
  </si>
  <si>
    <t>Larger = better rollover</t>
  </si>
  <si>
    <t>Hsu 2022: tracked %Long changes over 20 weeks with wedge insoles</t>
  </si>
  <si>
    <t>Exo should ↑ %Long (improved heel → toe progression)</t>
  </si>
  <si>
    <t>Hsu 2022</t>
  </si>
  <si>
    <t>COP %Trans (ML excursion)</t>
  </si>
  <si>
    <t>How much pressure shifts side-to-side across the foot</t>
  </si>
  <si>
    <t xml:space="preserve">15–20% of foot width (balanced lateral excursion). </t>
  </si>
  <si>
    <t>Balanced is best; too large = instability, too small = rigid</t>
  </si>
  <si>
    <t>Hsu 2022: compared wedge vs ordinary insoles</t>
  </si>
  <si>
    <t>Exo should normalize %Trans</t>
  </si>
  <si>
    <t>COP ML/AP Displacement (quiet standing)</t>
  </si>
  <si>
    <t>Side-to-side (ML) and front-back (AP) sway while standing</t>
  </si>
  <si>
    <t xml:space="preserve">RMS ML: 3–10 mm; RMS AP: 3–10 mm (eyes open, firm surface) → smaller = steadier. </t>
  </si>
  <si>
    <t>Smaller = more stable</t>
  </si>
  <si>
    <t>Hsu 2022: measured quiet-standing balance</t>
  </si>
  <si>
    <t>Keeogo should ↓ ML/AP sway</t>
  </si>
  <si>
    <t>Low</t>
  </si>
  <si>
    <t>Step-to-Step Variability</t>
  </si>
  <si>
    <t>Consistency of plantar pressures &amp; COP paths</t>
  </si>
  <si>
    <t xml:space="preserve">Spatiotemporal CV: 1–3% (e.g., stride time); Plantar/COP feature CV: ~5–15% typical → lower = steadier. </t>
  </si>
  <si>
    <t>Smaller = steadier gait</t>
  </si>
  <si>
    <t>Li 2024: ROA had ↑ variability in lateral heel, 2nd peak pressure, AP COP</t>
  </si>
  <si>
    <t>Exo should ↓ variability (more consistent gait)</t>
  </si>
  <si>
    <t>Li 2024</t>
  </si>
  <si>
    <t>Peak Plantar Pressure (PPP)</t>
  </si>
  <si>
    <t>Max pressure at a region during stance</t>
  </si>
  <si>
    <t xml:space="preserve">Region-dependent: typically 200–1000 kPa at comfortable speed (heel ≈ 400–800; hallux ≈ 300–600). </t>
  </si>
  <si>
    <t>Neither extreme; adequate peaks at heel + toe are healthy</t>
  </si>
  <si>
    <t>Li 2024: lower hallux &amp; heel PPP in ROA; Muñoz-Organero 2017: KOA altered regional PPP</t>
  </si>
  <si>
    <t>Keeogo should ↑ toe PPP (push-off) and balance heel/forefoot PPP</t>
  </si>
  <si>
    <t>First &amp; Second Peak Pressures</t>
  </si>
  <si>
    <t>First = heel strike; Second = push-off</t>
  </si>
  <si>
    <t xml:space="preserve">Timing: 1st ≈ 10–20% stance; 2nd ≈ 45–60% stance. Magnitude: 2nd often 0–+20% vs 1st (region-dependent); presence &amp; stability matter. </t>
  </si>
  <si>
    <t>Consistent peaks = better</t>
  </si>
  <si>
    <t>Li 2024: OA had greater variability in 2nd peak PPP</t>
  </si>
  <si>
    <t>Exo should stabilize 2nd peak PPP</t>
  </si>
  <si>
    <t>Loading/Unloading Rate</t>
  </si>
  <si>
    <t>How fast pressure rises at heel strike and falls at toe-off</t>
  </si>
  <si>
    <t xml:space="preserve">Vertical loading rate: ~5–12 BW/s during level walking; unloading similar magnitude (negative). </t>
  </si>
  <si>
    <t>Smoother = better</t>
  </si>
  <si>
    <t>Li 2024: OA showed altered rates</t>
  </si>
  <si>
    <t>Keeogo should normalize (not abrupt)</t>
  </si>
  <si>
    <t>Medial–Lateral Pressure Ratio</t>
  </si>
  <si>
    <t>Balance of inside vs outside foot load</t>
  </si>
  <si>
    <t xml:space="preserve">≈ 0.9–1.1 (balanced mid/forefoot ML load). </t>
  </si>
  <si>
    <t>Balanced is best</t>
  </si>
  <si>
    <t>Li 2024: OA patients had altered ML ratios</t>
  </si>
  <si>
    <t>Exo should normalize ML ratio (reduce uneven joint stress)</t>
  </si>
  <si>
    <t>Stance Time Symmetry Index (STSI)</t>
  </si>
  <si>
    <t>Whether stance duration differs between legs</t>
  </si>
  <si>
    <t xml:space="preserve">≈ 0% (healthy typically ±3–5% window around zero) → lower = more symmetric. </t>
  </si>
  <si>
    <t>Smaller = more symmetric</t>
  </si>
  <si>
    <t>Li 2024: used symmetry indices; Hsu 2022: wedge vs ordinary insoles</t>
  </si>
  <si>
    <t>Keeogo should ↓ asymmetry</t>
  </si>
  <si>
    <t>Hsu 2022; Li 2024</t>
  </si>
  <si>
    <t>COP Trajectory/Offset</t>
  </si>
  <si>
    <t>Path of COP under foot during stance</t>
  </si>
  <si>
    <t xml:space="preserve">Neutral near midline; lateralization ~3–8% foot width (~3–7 mm) is sufficient to reduce KAM (verify with KAM). </t>
  </si>
  <si>
    <t>More lateral COP = less medial knee load</t>
  </si>
  <si>
    <t>Haim 2011: lateral COP shift ↓ knee adduction moment (KAM), medial shift ↑ KAM</t>
  </si>
  <si>
    <t>If Keeogo induces lateral COP shift, it may ↓ knee load</t>
  </si>
  <si>
    <t>Haim 2011</t>
  </si>
  <si>
    <t>Knee Adduction Moment (KAM)</t>
  </si>
  <si>
    <t>Torque squeezing medial knee compartment</t>
  </si>
  <si>
    <t xml:space="preserve">Peaks ≈ 3.0–4.5 %BW·Ht (normalized). Lower is better. </t>
  </si>
  <si>
    <t>Smaller = better (less medial knee stress)</t>
  </si>
  <si>
    <t>Haim 2011: tested effect of COP shifts on KAM1, KAM2</t>
  </si>
  <si>
    <t>Keeogo may ↓ KAM if it shifts COP laterally</t>
  </si>
  <si>
    <t>Knee Adduction Impulse</t>
  </si>
  <si>
    <t>Time-integrated medial knee loading</t>
  </si>
  <si>
    <t xml:space="preserve">≈ 1.0–1.6 %BW·Ht·s at comfortable speed. Lower is better. </t>
  </si>
  <si>
    <t>Smaller = better</t>
  </si>
  <si>
    <t>Haim 2011: computed with COP modulation</t>
  </si>
  <si>
    <t>Exo could ↓ medial knee impulse</t>
  </si>
  <si>
    <t>Spatiotemporal Measures (speed, cadence, step length)</t>
  </si>
  <si>
    <t>Basic walking rhythm &amp; size</t>
  </si>
  <si>
    <t xml:space="preserve">Speed: 1.2–1.4 m/s; Cadence: 100–120 spm; Step length: 65–75 cm; Double support: 20–22%. </t>
  </si>
  <si>
    <t>Larger/normal = better</t>
  </si>
  <si>
    <t>Haim 2011: included as controls in COP/KAM study; Muñoz-Organero 2017: included in Pedar-X trials</t>
  </si>
  <si>
    <t>Keeogo should ↑ speed, cadence, step length</t>
  </si>
  <si>
    <t>Haim 2011; Muñoz-Organero 2017</t>
  </si>
  <si>
    <t>Definition</t>
  </si>
  <si>
    <t>Why it matters for Keeogo</t>
  </si>
  <si>
    <r>
      <t xml:space="preserve">Directly reflect </t>
    </r>
    <r>
      <rPr>
        <b/>
        <sz val="12"/>
        <color theme="1"/>
        <rFont val="Times New Roman"/>
        <family val="1"/>
      </rPr>
      <t>medial knee loading</t>
    </r>
    <r>
      <rPr>
        <sz val="12"/>
        <color theme="1"/>
        <rFont val="Times New Roman"/>
        <family val="1"/>
      </rPr>
      <t xml:space="preserve"> (OA pathology) or </t>
    </r>
    <r>
      <rPr>
        <b/>
        <sz val="12"/>
        <color theme="1"/>
        <rFont val="Times New Roman"/>
        <family val="1"/>
      </rPr>
      <t>propulsive function</t>
    </r>
    <r>
      <rPr>
        <sz val="12"/>
        <color theme="1"/>
        <rFont val="Times New Roman"/>
        <family val="1"/>
      </rPr>
      <t xml:space="preserve"> with strong mechanistic links.</t>
    </r>
  </si>
  <si>
    <t>Most persuasive evidence that Keeogo unloads the knee and/or restores push-off.</t>
  </si>
  <si>
    <r>
      <t xml:space="preserve">Reflect </t>
    </r>
    <r>
      <rPr>
        <b/>
        <sz val="12"/>
        <color theme="1"/>
        <rFont val="Times New Roman"/>
        <family val="1"/>
      </rPr>
      <t>load distribution, rollover quality, or inter-limb symmetry</t>
    </r>
    <r>
      <rPr>
        <sz val="12"/>
        <color theme="1"/>
        <rFont val="Times New Roman"/>
        <family val="1"/>
      </rPr>
      <t>—more indirect than High.</t>
    </r>
  </si>
  <si>
    <t>Strengthens the argument; shows how load is shared and how steady the pattern is.</t>
  </si>
  <si>
    <r>
      <t>Context/quality</t>
    </r>
    <r>
      <rPr>
        <sz val="12"/>
        <color theme="1"/>
        <rFont val="Times New Roman"/>
        <family val="1"/>
      </rPr>
      <t xml:space="preserve"> markers or </t>
    </r>
    <r>
      <rPr>
        <b/>
        <sz val="12"/>
        <color theme="1"/>
        <rFont val="Times New Roman"/>
        <family val="1"/>
      </rPr>
      <t>static balance</t>
    </r>
    <r>
      <rPr>
        <sz val="12"/>
        <color theme="1"/>
        <rFont val="Times New Roman"/>
        <family val="1"/>
      </rPr>
      <t>. Useful to interpret or corroborate, but not primary evidence.</t>
    </r>
  </si>
  <si>
    <t>Helps tell the full story and rule out confounds (especially speed).</t>
  </si>
  <si>
    <t>Why this group (mechanistic reasoning)</t>
  </si>
  <si>
    <t>What “success” looks like with Keeogo</t>
  </si>
  <si>
    <t>Direct proxy for medial knee compartment load; lateral COP shifts causally reduce KAM in medial KOA.</t>
  </si>
  <si>
    <t>Lower KAM peaks at matched speed/conditions vs baseline or no‑exo.</t>
  </si>
  <si>
    <t>Time‑integrated medial knee loading (duration × magnitude), tightly linked to tissue stress and symptoms.</t>
  </si>
  <si>
    <t>Reduced knee adduction impulse across stance at matched speed.</t>
  </si>
  <si>
    <t>Foot COP path position drives frontal‑plane knee torque; more lateral COP reduces medial knee load.</t>
  </si>
  <si>
    <t>Consistently more lateral COP path (within safe bounds), confirmed alongside ↓ KAM.</t>
  </si>
  <si>
    <t>Forefoot/toe impulse reflects quality of propulsion; KOA shows reduced push‑off work.</t>
  </si>
  <si>
    <t>Higher forefoot/toe impulse during push‑off without excessive local pressures.</t>
  </si>
  <si>
    <t>Strong discriminator of KOA; lower variability means steadier neuromotor control and safer, efficient gait.</t>
  </si>
  <si>
    <t>Lower SD across cycles for key pressure and COP features (e.g., 2nd peak, AP/ML COP).</t>
  </si>
  <si>
    <t>Reflects load transfer heel→forefoot; healthier rollover indicates better use of ankle/forefoot lever.</t>
  </si>
  <si>
    <t>Relative shift toward forefoot at push‑off with a corresponding reduction at heel.</t>
  </si>
  <si>
    <t>Completeness of heel→toe progression; relates to effective rollover and ankle power generation.</t>
  </si>
  <si>
    <t>Higher %Long (closer to complete rollover) at matched speed.</t>
  </si>
  <si>
    <t>Lateral adaptation/balance strategy; extreme values imply instability or rigidity.</t>
  </si>
  <si>
    <t>Normalized %Trans (neither excessive nor minimal) together with favorable KAM/COP offset.</t>
  </si>
  <si>
    <t>Local contact mechanics; toe peak relates to push‑off effectiveness, heel peak to loading response.</t>
  </si>
  <si>
    <t>Adequate ↑ toe PPP paired with ↑ forefoot impulse; balanced heel PPP (no harmful hotspots).</t>
  </si>
  <si>
    <t>1st peak = loading response; 2nd peak = propulsion; KOA often shows weak/variable 2nd peak.</t>
  </si>
  <si>
    <t>More consistent and appropriately higher 2nd peak aligned with ↑ forefoot impulse.</t>
  </si>
  <si>
    <t>dF/dt at heel strike/toe‑off indicates shock attenuation and coordination of push‑off.</t>
  </si>
  <si>
    <t>Smoother rise/fall (reduced abruptness) without slowing gait.</t>
  </si>
  <si>
    <t>Foot‑level bias relates to tibio‑femoral load sharing; extreme medial bias stresses the medial knee.</t>
  </si>
  <si>
    <t>Ratio closer to balanced, paired with ↓ KAM or more lateral COP.</t>
  </si>
  <si>
    <t>Inter‑limb stance imbalance reflects protective loading and instability common in KOA.</t>
  </si>
  <si>
    <t>Lower STSI (toward 0%), indicating more even limb loading times.</t>
  </si>
  <si>
    <t>Static postural sway; useful context for balance but less direct to dynamic knee loading.</t>
  </si>
  <si>
    <t>Reduced ML/AP RMS sway during quiet standing.</t>
  </si>
  <si>
    <t>Global functional output; improves with assistance but also confounds other metrics.</t>
  </si>
  <si>
    <t>Higher speed/cadence and longer steps while primary loading/propulsion metrics improve at matched speed.</t>
  </si>
  <si>
    <t>Walking Speed</t>
  </si>
  <si>
    <t>How fast you walk (m/s)</t>
  </si>
  <si>
    <t>~1.2–1.4 m/s = healthy adults</t>
  </si>
  <si>
    <t>Fearful/cautious walking → slower speeds</t>
  </si>
  <si>
    <t>Larger = better (closer to ~1.3 m/s)</t>
  </si>
  <si>
    <t>Exo should ↑ speed</t>
  </si>
  <si>
    <t>Young &amp; Hollands, 2012; Maki, 1997</t>
  </si>
  <si>
    <t>Step Length</t>
  </si>
  <si>
    <t>Distance from one heel strike to the other foot’s heel strike</t>
  </si>
  <si>
    <t>~65–75 cm</t>
  </si>
  <si>
    <t>Fearful walking → shorter steps</t>
  </si>
  <si>
    <t>Larger = more confident</t>
  </si>
  <si>
    <t>Exo should ↑ step length</t>
  </si>
  <si>
    <t>Young &amp; Hollands, 2012</t>
  </si>
  <si>
    <t>Stride Length</t>
  </si>
  <si>
    <t>Distance between heel strikes of the same foot</t>
  </si>
  <si>
    <t>~130–150 cm</t>
  </si>
  <si>
    <t>Fear/obstacles → shorter strides</t>
  </si>
  <si>
    <t>Larger = more efficient</t>
  </si>
  <si>
    <t>Exo should ↑ stride length</t>
  </si>
  <si>
    <t>Chen et al., 1991; Young &amp; Hollands, 2012</t>
  </si>
  <si>
    <t>Cadence</t>
  </si>
  <si>
    <t>Steps per minute</t>
  </si>
  <si>
    <t>~100–120 spm</t>
  </si>
  <si>
    <t>Fear/instability → lower cadence</t>
  </si>
  <si>
    <t>Larger (within range) = better</t>
  </si>
  <si>
    <t>Exo should ↑ cadence</t>
  </si>
  <si>
    <t>Hausdorff et al., 2001</t>
  </si>
  <si>
    <t>Double Support Time</t>
  </si>
  <si>
    <t>% of stride both feet on ground</t>
  </si>
  <si>
    <t>~20–22%</t>
  </si>
  <si>
    <t>Fear/cautious gait → higher</t>
  </si>
  <si>
    <t>Smaller = more dynamic</t>
  </si>
  <si>
    <t>Exo should ↓ double support</t>
  </si>
  <si>
    <t>Maki, 1997; Young &amp; Hollands, 2012</t>
  </si>
  <si>
    <t>Gait Profile Score (GPS)</t>
  </si>
  <si>
    <t>Overall kinematic deviation from normal</t>
  </si>
  <si>
    <t>Healthy ≈ 0–5°</t>
  </si>
  <si>
    <t>Higher GPS = abnormal gait</t>
  </si>
  <si>
    <t>Exo should ↓ GPS</t>
  </si>
  <si>
    <t>Baker et al., 2009</t>
  </si>
  <si>
    <t>Gait Variable Scores (GVS)</t>
  </si>
  <si>
    <t>GPS broken into specific joints/parameters</t>
  </si>
  <si>
    <t>N/A</t>
  </si>
  <si>
    <t>Identified which joints caused deviations</t>
  </si>
  <si>
    <t>Smaller = closer to normal</t>
  </si>
  <si>
    <t>Exo should ↓ GVS (esp. hip/knee)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</si>
</sst>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2"/>
      <color theme="10"/>
      <name val="Times New Roman"/>
      <family val="1"/>
    </font>
    <font>
      <strike/>
      <sz val="12"/>
      <color theme="1"/>
      <name val="Times New Roman"/>
      <family val="1"/>
    </font>
    <font>
      <b/>
      <strike/>
      <sz val="12"/>
      <color theme="1"/>
      <name val="Times New Roman"/>
      <family val="1"/>
    </font>
    <font>
      <strike/>
      <u/>
      <sz val="12"/>
      <color theme="10"/>
      <name val="Times New Roman"/>
      <family val="1"/>
    </font>
    <font>
      <u/>
      <sz val="12"/>
      <color theme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1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2" xfId="1" applyFont="1" applyBorder="1" applyAlignment="1">
      <alignment vertical="center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1173105/?utm_source=chatgpt.com" TargetMode="External"/><Relationship Id="rId13" Type="http://schemas.openxmlformats.org/officeDocument/2006/relationships/hyperlink" Target="https://now.aapmr.org/biomechanics-normal-gait/?utm_source=chatgpt.com" TargetMode="External"/><Relationship Id="rId3" Type="http://schemas.openxmlformats.org/officeDocument/2006/relationships/hyperlink" Target="https://stacks.cdc.gov/view/cdc/186877/cdc_186877_DS1.pdf?utm_source=chatgpt.com" TargetMode="External"/><Relationship Id="rId7" Type="http://schemas.openxmlformats.org/officeDocument/2006/relationships/hyperlink" Target="https://pmc.ncbi.nlm.nih.gov/articles/PMC4311602/?utm_source=chatgpt.com" TargetMode="External"/><Relationship Id="rId12" Type="http://schemas.openxmlformats.org/officeDocument/2006/relationships/hyperlink" Target="https://www.oarsijournal.com/article/S1063-4584%2812%2900937-5/fulltext?utm_source=chatgpt.com" TargetMode="External"/><Relationship Id="rId2" Type="http://schemas.openxmlformats.org/officeDocument/2006/relationships/hyperlink" Target="https://www.e-arm.org/journal/view.php?number=2923&amp;utm_source=chatgpt.com" TargetMode="External"/><Relationship Id="rId1" Type="http://schemas.openxmlformats.org/officeDocument/2006/relationships/hyperlink" Target="https://www.e-arm.org/journal/view.php?number=2923&amp;utm_source=chatgpt.com" TargetMode="External"/><Relationship Id="rId6" Type="http://schemas.openxmlformats.org/officeDocument/2006/relationships/hyperlink" Target="https://www.oarsijournal.com/article/S1063-4584%2815%2900946-2/fulltext?utm_source=chatgpt.com" TargetMode="External"/><Relationship Id="rId11" Type="http://schemas.openxmlformats.org/officeDocument/2006/relationships/hyperlink" Target="https://acrjournals.onlinelibrary.wiley.com/doi/10.1002/acr.20012?utm_source=chatgpt.com" TargetMode="External"/><Relationship Id="rId5" Type="http://schemas.openxmlformats.org/officeDocument/2006/relationships/hyperlink" Target="https://www.sciencedirect.com/science/article/abs/pii/S0966636206001007?utm_source=chatgpt.com" TargetMode="External"/><Relationship Id="rId15" Type="http://schemas.openxmlformats.org/officeDocument/2006/relationships/hyperlink" Target="https://onlinelibrary.wiley.com/doi/10.1002/jor.21422" TargetMode="External"/><Relationship Id="rId10" Type="http://schemas.openxmlformats.org/officeDocument/2006/relationships/hyperlink" Target="https://onlinelibrary.wiley.com/doi/10.1002/jor.23527?utm_source=chatgpt.com" TargetMode="External"/><Relationship Id="rId4" Type="http://schemas.openxmlformats.org/officeDocument/2006/relationships/hyperlink" Target="https://pmc.ncbi.nlm.nih.gov/articles/PMC2731039/?utm_source=chatgpt.com" TargetMode="External"/><Relationship Id="rId9" Type="http://schemas.openxmlformats.org/officeDocument/2006/relationships/hyperlink" Target="https://www.sciencedirect.com/science/article/abs/pii/S0966636202001224?utm_source=chatgpt.com" TargetMode="External"/><Relationship Id="rId14" Type="http://schemas.openxmlformats.org/officeDocument/2006/relationships/hyperlink" Target="https://onlinelibrary.wiley.com/doi/10.1002/jor.214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opLeftCell="E1" zoomScale="130" zoomScaleNormal="130" workbookViewId="0">
      <selection activeCell="A16" sqref="A16"/>
    </sheetView>
  </sheetViews>
  <sheetFormatPr defaultColWidth="8.85546875" defaultRowHeight="15.95"/>
  <cols>
    <col min="1" max="1" width="53" style="3" bestFit="1" customWidth="1"/>
    <col min="2" max="2" width="62.7109375" style="3" bestFit="1" customWidth="1"/>
    <col min="3" max="3" width="54.140625" style="3" bestFit="1" customWidth="1"/>
    <col min="4" max="4" width="47.28515625" style="3" bestFit="1" customWidth="1"/>
    <col min="5" max="5" width="65.28515625" style="3" bestFit="1" customWidth="1"/>
    <col min="6" max="6" width="50" style="3" bestFit="1" customWidth="1"/>
    <col min="7" max="7" width="63.7109375" style="3" bestFit="1" customWidth="1"/>
    <col min="8" max="8" width="9.85546875" style="3" bestFit="1" customWidth="1"/>
    <col min="9" max="16384" width="8.85546875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4" t="s">
        <v>7</v>
      </c>
    </row>
    <row r="2" spans="1:8" ht="33.950000000000003">
      <c r="A2" s="4" t="s">
        <v>8</v>
      </c>
      <c r="B2" s="5" t="s">
        <v>9</v>
      </c>
      <c r="C2" s="12" t="s">
        <v>10</v>
      </c>
      <c r="D2" s="5" t="s">
        <v>11</v>
      </c>
      <c r="E2" s="5" t="s">
        <v>12</v>
      </c>
      <c r="F2" s="5" t="s">
        <v>13</v>
      </c>
      <c r="G2" s="7" t="s">
        <v>14</v>
      </c>
      <c r="H2" s="8" t="s">
        <v>15</v>
      </c>
    </row>
    <row r="3" spans="1:8" ht="33.950000000000003">
      <c r="A3" s="4" t="s">
        <v>16</v>
      </c>
      <c r="B3" s="5" t="s">
        <v>17</v>
      </c>
      <c r="C3" s="12" t="s">
        <v>18</v>
      </c>
      <c r="D3" s="5" t="s">
        <v>19</v>
      </c>
      <c r="E3" s="5" t="s">
        <v>20</v>
      </c>
      <c r="F3" s="5" t="s">
        <v>21</v>
      </c>
      <c r="G3" s="7" t="s">
        <v>22</v>
      </c>
      <c r="H3" s="8" t="s">
        <v>23</v>
      </c>
    </row>
    <row r="4" spans="1:8" ht="17.100000000000001">
      <c r="A4" s="4" t="s">
        <v>24</v>
      </c>
      <c r="B4" s="5" t="s">
        <v>25</v>
      </c>
      <c r="C4" s="13" t="s">
        <v>26</v>
      </c>
      <c r="D4" s="5" t="s">
        <v>27</v>
      </c>
      <c r="E4" s="5" t="s">
        <v>28</v>
      </c>
      <c r="F4" s="5" t="s">
        <v>29</v>
      </c>
      <c r="G4" s="7" t="s">
        <v>30</v>
      </c>
      <c r="H4" s="8" t="s">
        <v>15</v>
      </c>
    </row>
    <row r="5" spans="1:8" ht="17.100000000000001">
      <c r="A5" s="4" t="s">
        <v>31</v>
      </c>
      <c r="B5" s="5" t="s">
        <v>32</v>
      </c>
      <c r="C5" s="13" t="s">
        <v>33</v>
      </c>
      <c r="D5" s="5" t="s">
        <v>34</v>
      </c>
      <c r="E5" s="5" t="s">
        <v>35</v>
      </c>
      <c r="F5" s="5" t="s">
        <v>36</v>
      </c>
      <c r="G5" s="7" t="s">
        <v>30</v>
      </c>
      <c r="H5" s="8" t="s">
        <v>15</v>
      </c>
    </row>
    <row r="6" spans="1:8" ht="33.950000000000003">
      <c r="A6" s="4" t="s">
        <v>37</v>
      </c>
      <c r="B6" s="5" t="s">
        <v>38</v>
      </c>
      <c r="C6" s="13" t="s">
        <v>39</v>
      </c>
      <c r="D6" s="5" t="s">
        <v>40</v>
      </c>
      <c r="E6" s="5" t="s">
        <v>41</v>
      </c>
      <c r="F6" s="5" t="s">
        <v>42</v>
      </c>
      <c r="G6" s="7" t="s">
        <v>30</v>
      </c>
      <c r="H6" s="8" t="s">
        <v>43</v>
      </c>
    </row>
    <row r="7" spans="1:8" ht="33.950000000000003">
      <c r="A7" s="4" t="s">
        <v>44</v>
      </c>
      <c r="B7" s="5" t="s">
        <v>45</v>
      </c>
      <c r="C7" s="13" t="s">
        <v>46</v>
      </c>
      <c r="D7" s="5" t="s">
        <v>47</v>
      </c>
      <c r="E7" s="5" t="s">
        <v>48</v>
      </c>
      <c r="F7" s="5" t="s">
        <v>49</v>
      </c>
      <c r="G7" s="7" t="s">
        <v>50</v>
      </c>
      <c r="H7" s="8" t="s">
        <v>23</v>
      </c>
    </row>
    <row r="8" spans="1:8" ht="33.950000000000003">
      <c r="A8" s="4" t="s">
        <v>51</v>
      </c>
      <c r="B8" s="5" t="s">
        <v>52</v>
      </c>
      <c r="C8" s="13" t="s">
        <v>53</v>
      </c>
      <c r="D8" s="5" t="s">
        <v>54</v>
      </c>
      <c r="E8" s="5" t="s">
        <v>55</v>
      </c>
      <c r="F8" s="5" t="s">
        <v>56</v>
      </c>
      <c r="G8" s="7" t="s">
        <v>22</v>
      </c>
      <c r="H8" s="8" t="s">
        <v>15</v>
      </c>
    </row>
    <row r="9" spans="1:8" ht="51">
      <c r="A9" s="4" t="s">
        <v>57</v>
      </c>
      <c r="B9" s="5" t="s">
        <v>58</v>
      </c>
      <c r="C9" s="13" t="s">
        <v>59</v>
      </c>
      <c r="D9" s="5" t="s">
        <v>60</v>
      </c>
      <c r="E9" s="5" t="s">
        <v>61</v>
      </c>
      <c r="F9" s="5" t="s">
        <v>62</v>
      </c>
      <c r="G9" s="7" t="s">
        <v>50</v>
      </c>
      <c r="H9" s="8" t="s">
        <v>15</v>
      </c>
    </row>
    <row r="10" spans="1:8" ht="33.950000000000003">
      <c r="A10" s="4" t="s">
        <v>63</v>
      </c>
      <c r="B10" s="5" t="s">
        <v>64</v>
      </c>
      <c r="C10" s="13" t="s">
        <v>65</v>
      </c>
      <c r="D10" s="5" t="s">
        <v>66</v>
      </c>
      <c r="E10" s="5" t="s">
        <v>67</v>
      </c>
      <c r="F10" s="5" t="s">
        <v>68</v>
      </c>
      <c r="G10" s="7" t="s">
        <v>50</v>
      </c>
      <c r="H10" s="8" t="s">
        <v>15</v>
      </c>
    </row>
    <row r="11" spans="1:8" ht="17.100000000000001">
      <c r="A11" s="4" t="s">
        <v>69</v>
      </c>
      <c r="B11" s="5" t="s">
        <v>70</v>
      </c>
      <c r="C11" s="13" t="s">
        <v>71</v>
      </c>
      <c r="D11" s="5" t="s">
        <v>72</v>
      </c>
      <c r="E11" s="5" t="s">
        <v>73</v>
      </c>
      <c r="F11" s="5" t="s">
        <v>74</v>
      </c>
      <c r="G11" s="7" t="s">
        <v>50</v>
      </c>
      <c r="H11" s="8" t="s">
        <v>15</v>
      </c>
    </row>
    <row r="12" spans="1:8" ht="33.950000000000003">
      <c r="A12" s="4" t="s">
        <v>75</v>
      </c>
      <c r="B12" s="5" t="s">
        <v>76</v>
      </c>
      <c r="C12" s="13" t="s">
        <v>77</v>
      </c>
      <c r="D12" s="5" t="s">
        <v>78</v>
      </c>
      <c r="E12" s="5" t="s">
        <v>79</v>
      </c>
      <c r="F12" s="5" t="s">
        <v>80</v>
      </c>
      <c r="G12" s="7" t="s">
        <v>81</v>
      </c>
      <c r="H12" s="8" t="s">
        <v>15</v>
      </c>
    </row>
    <row r="13" spans="1:8" ht="44.25">
      <c r="A13" s="4" t="s">
        <v>82</v>
      </c>
      <c r="B13" s="5" t="s">
        <v>83</v>
      </c>
      <c r="C13" s="13" t="s">
        <v>84</v>
      </c>
      <c r="D13" s="5" t="s">
        <v>85</v>
      </c>
      <c r="E13" s="5" t="s">
        <v>86</v>
      </c>
      <c r="F13" s="5" t="s">
        <v>87</v>
      </c>
      <c r="G13" s="20" t="s">
        <v>88</v>
      </c>
      <c r="H13" s="8" t="s">
        <v>23</v>
      </c>
    </row>
    <row r="14" spans="1:8" s="19" customFormat="1" ht="24.75" customHeight="1">
      <c r="A14" s="15" t="s">
        <v>89</v>
      </c>
      <c r="B14" s="16" t="s">
        <v>90</v>
      </c>
      <c r="C14" s="17" t="s">
        <v>91</v>
      </c>
      <c r="D14" s="16" t="s">
        <v>92</v>
      </c>
      <c r="E14" s="16" t="s">
        <v>93</v>
      </c>
      <c r="F14" s="16" t="s">
        <v>94</v>
      </c>
      <c r="G14" s="20" t="s">
        <v>88</v>
      </c>
      <c r="H14" s="18" t="s">
        <v>23</v>
      </c>
    </row>
    <row r="15" spans="1:8" ht="29.25">
      <c r="A15" s="4" t="s">
        <v>95</v>
      </c>
      <c r="B15" s="5" t="s">
        <v>96</v>
      </c>
      <c r="C15" s="13" t="s">
        <v>97</v>
      </c>
      <c r="D15" s="5" t="s">
        <v>98</v>
      </c>
      <c r="E15" s="5" t="s">
        <v>99</v>
      </c>
      <c r="F15" s="5" t="s">
        <v>100</v>
      </c>
      <c r="G15" s="20" t="s">
        <v>88</v>
      </c>
      <c r="H15" s="8" t="s">
        <v>23</v>
      </c>
    </row>
    <row r="16" spans="1:8" ht="33.950000000000003">
      <c r="A16" s="4" t="s">
        <v>101</v>
      </c>
      <c r="B16" s="5" t="s">
        <v>102</v>
      </c>
      <c r="C16" s="13" t="s">
        <v>103</v>
      </c>
      <c r="D16" s="5" t="s">
        <v>104</v>
      </c>
      <c r="E16" s="5" t="s">
        <v>105</v>
      </c>
      <c r="F16" s="5" t="s">
        <v>106</v>
      </c>
      <c r="G16" s="7" t="s">
        <v>107</v>
      </c>
      <c r="H16" s="8" t="s">
        <v>43</v>
      </c>
    </row>
  </sheetData>
  <conditionalFormatting sqref="H2:H16">
    <cfRule type="containsText" dxfId="5" priority="1" operator="containsText" text="Low">
      <formula>NOT(ISERROR(SEARCH("Low",H2)))</formula>
    </cfRule>
    <cfRule type="containsText" dxfId="4" priority="2" operator="containsText" text="Moderate">
      <formula>NOT(ISERROR(SEARCH("Moderate",H2)))</formula>
    </cfRule>
    <cfRule type="containsText" dxfId="3" priority="3" operator="containsText" text="High">
      <formula>NOT(ISERROR(SEARCH("High",H2)))</formula>
    </cfRule>
  </conditionalFormatting>
  <hyperlinks>
    <hyperlink ref="C4" r:id="rId1" display="https://www.e-arm.org/journal/view.php?number=2923&amp;utm_source=chatgpt.com" xr:uid="{1E271BC6-C296-5844-9CB8-E126B46BE5C1}"/>
    <hyperlink ref="C5" r:id="rId2" display="https://www.e-arm.org/journal/view.php?number=2923&amp;utm_source=chatgpt.com" xr:uid="{19E2F3C8-8534-E34D-957F-D7AC0049AD3B}"/>
    <hyperlink ref="C6" r:id="rId3" display="https://stacks.cdc.gov/view/cdc/186877/cdc_186877_DS1.pdf?utm_source=chatgpt.com" xr:uid="{ACB5976A-69FB-5D48-8FB1-A1F624F4DE4B}"/>
    <hyperlink ref="C7" r:id="rId4" display="https://pmc.ncbi.nlm.nih.gov/articles/PMC2731039/?utm_source=chatgpt.com" xr:uid="{185597A0-24D1-6847-84A3-45D51286AA71}"/>
    <hyperlink ref="C8" r:id="rId5" display="https://www.sciencedirect.com/science/article/abs/pii/S0966636206001007?utm_source=chatgpt.com" xr:uid="{9B7C5DE9-5B3F-9D48-8DDE-88DFA02EA4E4}"/>
    <hyperlink ref="C10" r:id="rId6" display="https://www.oarsijournal.com/article/S1063-4584%2815%2900946-2/fulltext?utm_source=chatgpt.com" xr:uid="{C2565FC8-18D3-0241-AFCA-DDEAC60FDB8E}"/>
    <hyperlink ref="C9" r:id="rId7" display="https://pmc.ncbi.nlm.nih.gov/articles/PMC4311602/?utm_source=chatgpt.com" xr:uid="{0CD8873E-4D3C-A649-B0DC-989D131B239A}"/>
    <hyperlink ref="C11" r:id="rId8" display="https://pmc.ncbi.nlm.nih.gov/articles/PMC1173105/?utm_source=chatgpt.com" xr:uid="{08EA225E-C351-D94E-AD4A-E102CB609FD0}"/>
    <hyperlink ref="C12" r:id="rId9" display="https://www.sciencedirect.com/science/article/abs/pii/S0966636202001224?utm_source=chatgpt.com" xr:uid="{6089E2BC-9060-7F4B-B978-C24216968EB7}"/>
    <hyperlink ref="C13" r:id="rId10" display="https://onlinelibrary.wiley.com/doi/10.1002/jor.23527?utm_source=chatgpt.com" xr:uid="{978085DA-C6E0-234D-A4D3-F28898726E37}"/>
    <hyperlink ref="C14" r:id="rId11" display="https://acrjournals.onlinelibrary.wiley.com/doi/10.1002/acr.20012?utm_source=chatgpt.com" xr:uid="{66D26D9F-5473-4B48-9F55-5FBD678C332A}"/>
    <hyperlink ref="C15" r:id="rId12" display="https://www.oarsijournal.com/article/S1063-4584%2812%2900937-5/fulltext?utm_source=chatgpt.com" xr:uid="{3B29EB09-4216-DD46-B0BF-E33865F4FA0B}"/>
    <hyperlink ref="C16" r:id="rId13" display="https://now.aapmr.org/biomechanics-normal-gait/?utm_source=chatgpt.com" xr:uid="{6C94935F-E69C-5147-9C57-664095DA5404}"/>
    <hyperlink ref="G13" r:id="rId14" xr:uid="{4CE4DAF4-932B-4067-9C95-574EA8BDE10E}"/>
    <hyperlink ref="G14:G15" r:id="rId15" display="Haim 2011" xr:uid="{4DE506D6-5CBA-41ED-A136-331A3AC4E029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54F6-4CB5-3D4A-B78A-6098981AE798}">
  <dimension ref="A1:D25"/>
  <sheetViews>
    <sheetView tabSelected="1" topLeftCell="A7" zoomScale="90" zoomScaleNormal="90" workbookViewId="0">
      <selection activeCell="A10" sqref="A10"/>
    </sheetView>
  </sheetViews>
  <sheetFormatPr defaultColWidth="10.85546875" defaultRowHeight="15.95"/>
  <cols>
    <col min="1" max="1" width="19.28515625" style="2" customWidth="1"/>
    <col min="2" max="2" width="91.85546875" style="2" bestFit="1" customWidth="1"/>
    <col min="3" max="3" width="71.85546875" style="2" customWidth="1"/>
    <col min="4" max="4" width="56" style="2" customWidth="1"/>
    <col min="5" max="16384" width="10.85546875" style="2"/>
  </cols>
  <sheetData>
    <row r="1" spans="1:4">
      <c r="A1" s="1" t="s">
        <v>7</v>
      </c>
      <c r="B1" s="1" t="s">
        <v>108</v>
      </c>
      <c r="C1" s="1" t="s">
        <v>109</v>
      </c>
      <c r="D1" s="1"/>
    </row>
    <row r="2" spans="1:4" ht="29.25">
      <c r="A2" s="1" t="s">
        <v>23</v>
      </c>
      <c r="B2" s="10" t="s">
        <v>110</v>
      </c>
      <c r="C2" s="10" t="s">
        <v>111</v>
      </c>
    </row>
    <row r="3" spans="1:4" ht="29.25">
      <c r="A3" s="1" t="s">
        <v>15</v>
      </c>
      <c r="B3" s="10" t="s">
        <v>112</v>
      </c>
      <c r="C3" s="10" t="s">
        <v>113</v>
      </c>
    </row>
    <row r="4" spans="1:4" ht="29.25">
      <c r="A4" s="1" t="s">
        <v>43</v>
      </c>
      <c r="B4" s="11" t="s">
        <v>114</v>
      </c>
      <c r="C4" s="10" t="s">
        <v>115</v>
      </c>
    </row>
    <row r="6" spans="1:4">
      <c r="A6" s="9" t="s">
        <v>0</v>
      </c>
      <c r="B6" s="9" t="s">
        <v>7</v>
      </c>
      <c r="C6" s="9" t="s">
        <v>116</v>
      </c>
      <c r="D6" s="9" t="s">
        <v>117</v>
      </c>
    </row>
    <row r="7" spans="1:4" ht="29.25">
      <c r="A7" s="14" t="s">
        <v>89</v>
      </c>
      <c r="B7" s="14" t="s">
        <v>23</v>
      </c>
      <c r="C7" s="14" t="s">
        <v>118</v>
      </c>
      <c r="D7" s="14" t="s">
        <v>119</v>
      </c>
    </row>
    <row r="8" spans="1:4" ht="33.950000000000003">
      <c r="A8" s="10" t="s">
        <v>95</v>
      </c>
      <c r="B8" s="10" t="s">
        <v>23</v>
      </c>
      <c r="C8" s="10" t="s">
        <v>120</v>
      </c>
      <c r="D8" s="10" t="s">
        <v>121</v>
      </c>
    </row>
    <row r="9" spans="1:4" ht="33.950000000000003">
      <c r="A9" s="11" t="s">
        <v>82</v>
      </c>
      <c r="B9" s="10" t="s">
        <v>23</v>
      </c>
      <c r="C9" s="10" t="s">
        <v>122</v>
      </c>
      <c r="D9" s="10" t="s">
        <v>123</v>
      </c>
    </row>
    <row r="10" spans="1:4" ht="51">
      <c r="A10" s="11" t="s">
        <v>16</v>
      </c>
      <c r="B10" s="10" t="s">
        <v>23</v>
      </c>
      <c r="C10" s="10" t="s">
        <v>124</v>
      </c>
      <c r="D10" s="10" t="s">
        <v>125</v>
      </c>
    </row>
    <row r="11" spans="1:4" ht="33.950000000000003">
      <c r="A11" s="11" t="s">
        <v>44</v>
      </c>
      <c r="B11" s="10" t="s">
        <v>23</v>
      </c>
      <c r="C11" s="10" t="s">
        <v>126</v>
      </c>
      <c r="D11" s="10" t="s">
        <v>127</v>
      </c>
    </row>
    <row r="12" spans="1:4" ht="51">
      <c r="A12" s="11" t="s">
        <v>8</v>
      </c>
      <c r="B12" s="10" t="s">
        <v>15</v>
      </c>
      <c r="C12" s="10" t="s">
        <v>128</v>
      </c>
      <c r="D12" s="10" t="s">
        <v>129</v>
      </c>
    </row>
    <row r="13" spans="1:4" ht="33.950000000000003">
      <c r="A13" s="11" t="s">
        <v>24</v>
      </c>
      <c r="B13" s="10" t="s">
        <v>15</v>
      </c>
      <c r="C13" s="10" t="s">
        <v>130</v>
      </c>
      <c r="D13" s="10" t="s">
        <v>131</v>
      </c>
    </row>
    <row r="14" spans="1:4" ht="33.950000000000003">
      <c r="A14" s="11" t="s">
        <v>31</v>
      </c>
      <c r="B14" s="10" t="s">
        <v>15</v>
      </c>
      <c r="C14" s="10" t="s">
        <v>132</v>
      </c>
      <c r="D14" s="10" t="s">
        <v>133</v>
      </c>
    </row>
    <row r="15" spans="1:4" ht="33.950000000000003">
      <c r="A15" s="11" t="s">
        <v>51</v>
      </c>
      <c r="B15" s="10" t="s">
        <v>15</v>
      </c>
      <c r="C15" s="10" t="s">
        <v>134</v>
      </c>
      <c r="D15" s="10" t="s">
        <v>135</v>
      </c>
    </row>
    <row r="16" spans="1:4" ht="33.950000000000003">
      <c r="A16" s="10" t="s">
        <v>57</v>
      </c>
      <c r="B16" s="10" t="s">
        <v>15</v>
      </c>
      <c r="C16" s="10" t="s">
        <v>136</v>
      </c>
      <c r="D16" s="10" t="s">
        <v>137</v>
      </c>
    </row>
    <row r="17" spans="1:4" ht="29.25">
      <c r="A17" s="10" t="s">
        <v>63</v>
      </c>
      <c r="B17" s="10" t="s">
        <v>15</v>
      </c>
      <c r="C17" s="10" t="s">
        <v>138</v>
      </c>
      <c r="D17" s="10" t="s">
        <v>139</v>
      </c>
    </row>
    <row r="18" spans="1:4" s="21" customFormat="1" ht="29.25">
      <c r="A18" s="14" t="s">
        <v>69</v>
      </c>
      <c r="B18" s="14" t="s">
        <v>15</v>
      </c>
      <c r="C18" s="14" t="s">
        <v>140</v>
      </c>
      <c r="D18" s="14" t="s">
        <v>141</v>
      </c>
    </row>
    <row r="19" spans="1:4" ht="51">
      <c r="A19" s="10" t="s">
        <v>75</v>
      </c>
      <c r="B19" s="10" t="s">
        <v>15</v>
      </c>
      <c r="C19" s="10" t="s">
        <v>142</v>
      </c>
      <c r="D19" s="10" t="s">
        <v>143</v>
      </c>
    </row>
    <row r="20" spans="1:4" ht="51">
      <c r="A20" s="10" t="s">
        <v>37</v>
      </c>
      <c r="B20" s="10" t="s">
        <v>43</v>
      </c>
      <c r="C20" s="10" t="s">
        <v>144</v>
      </c>
      <c r="D20" s="10" t="s">
        <v>145</v>
      </c>
    </row>
    <row r="21" spans="1:4" ht="68.099999999999994">
      <c r="A21" s="10" t="s">
        <v>101</v>
      </c>
      <c r="B21" s="10" t="s">
        <v>43</v>
      </c>
      <c r="C21" s="10" t="s">
        <v>146</v>
      </c>
      <c r="D21" s="10" t="s">
        <v>147</v>
      </c>
    </row>
    <row r="22" spans="1:4">
      <c r="A22" s="1"/>
      <c r="B22" s="1"/>
      <c r="D22" s="1"/>
    </row>
    <row r="23" spans="1:4">
      <c r="A23" s="1"/>
      <c r="B23" s="1"/>
      <c r="D23" s="1"/>
    </row>
    <row r="24" spans="1:4">
      <c r="A24" s="1"/>
      <c r="B24" s="1"/>
      <c r="D24" s="1"/>
    </row>
    <row r="25" spans="1:4">
      <c r="A25" s="1"/>
      <c r="B25" s="1"/>
      <c r="D25" s="1"/>
    </row>
  </sheetData>
  <conditionalFormatting sqref="B7:B21">
    <cfRule type="containsText" dxfId="2" priority="1" operator="containsText" text="Low">
      <formula>NOT(ISERROR(SEARCH("Low",B7)))</formula>
    </cfRule>
    <cfRule type="containsText" dxfId="1" priority="2" operator="containsText" text="High">
      <formula>NOT(ISERROR(SEARCH("High",B7)))</formula>
    </cfRule>
    <cfRule type="containsText" dxfId="0" priority="3" operator="containsText" text="Moderate">
      <formula>NOT(ISERROR(SEARCH("Moderate",B7)))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1F53-83F5-7749-B23B-BAE351C0A936}">
  <dimension ref="A1:G8"/>
  <sheetViews>
    <sheetView zoomScale="120" zoomScaleNormal="120" workbookViewId="0">
      <selection activeCell="D14" sqref="D14"/>
    </sheetView>
  </sheetViews>
  <sheetFormatPr defaultColWidth="10.85546875" defaultRowHeight="15.95"/>
  <cols>
    <col min="1" max="1" width="23.85546875" style="2" bestFit="1" customWidth="1"/>
    <col min="2" max="2" width="49.42578125" style="2" bestFit="1" customWidth="1"/>
    <col min="3" max="3" width="33.7109375" style="2" customWidth="1"/>
    <col min="4" max="4" width="36" style="2" bestFit="1" customWidth="1"/>
    <col min="5" max="6" width="29.140625" style="2" bestFit="1" customWidth="1"/>
    <col min="7" max="7" width="36.28515625" style="2" bestFit="1" customWidth="1"/>
    <col min="8" max="16384" width="10.85546875" style="2"/>
  </cols>
  <sheetData>
    <row r="1" spans="1:7">
      <c r="A1" s="1" t="s">
        <v>0</v>
      </c>
      <c r="B1" s="1" t="s">
        <v>108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</row>
    <row r="2" spans="1:7" ht="29.25">
      <c r="A2" s="10" t="s">
        <v>148</v>
      </c>
      <c r="B2" s="10" t="s">
        <v>149</v>
      </c>
      <c r="C2" s="10" t="s">
        <v>150</v>
      </c>
      <c r="D2" s="10" t="s">
        <v>151</v>
      </c>
      <c r="E2" s="10" t="s">
        <v>152</v>
      </c>
      <c r="F2" s="10" t="s">
        <v>153</v>
      </c>
      <c r="G2" s="10" t="s">
        <v>154</v>
      </c>
    </row>
    <row r="3" spans="1:7" ht="29.25">
      <c r="A3" s="10" t="s">
        <v>155</v>
      </c>
      <c r="B3" s="10" t="s">
        <v>156</v>
      </c>
      <c r="C3" s="10" t="s">
        <v>157</v>
      </c>
      <c r="D3" s="10" t="s">
        <v>158</v>
      </c>
      <c r="E3" s="10" t="s">
        <v>159</v>
      </c>
      <c r="F3" s="10" t="s">
        <v>160</v>
      </c>
      <c r="G3" s="10" t="s">
        <v>161</v>
      </c>
    </row>
    <row r="4" spans="1:7" ht="29.25">
      <c r="A4" s="10" t="s">
        <v>162</v>
      </c>
      <c r="B4" s="10" t="s">
        <v>163</v>
      </c>
      <c r="C4" s="10" t="s">
        <v>164</v>
      </c>
      <c r="D4" s="10" t="s">
        <v>165</v>
      </c>
      <c r="E4" s="10" t="s">
        <v>166</v>
      </c>
      <c r="F4" s="10" t="s">
        <v>167</v>
      </c>
      <c r="G4" s="10" t="s">
        <v>168</v>
      </c>
    </row>
    <row r="5" spans="1:7" ht="15.75">
      <c r="A5" s="10" t="s">
        <v>169</v>
      </c>
      <c r="B5" s="10" t="s">
        <v>170</v>
      </c>
      <c r="C5" s="10" t="s">
        <v>171</v>
      </c>
      <c r="D5" s="10" t="s">
        <v>172</v>
      </c>
      <c r="E5" s="10" t="s">
        <v>173</v>
      </c>
      <c r="F5" s="10" t="s">
        <v>174</v>
      </c>
      <c r="G5" s="10" t="s">
        <v>175</v>
      </c>
    </row>
    <row r="6" spans="1:7" ht="15.75">
      <c r="A6" s="10" t="s">
        <v>176</v>
      </c>
      <c r="B6" s="10" t="s">
        <v>177</v>
      </c>
      <c r="C6" s="10" t="s">
        <v>178</v>
      </c>
      <c r="D6" s="10" t="s">
        <v>179</v>
      </c>
      <c r="E6" s="10" t="s">
        <v>180</v>
      </c>
      <c r="F6" s="10" t="s">
        <v>181</v>
      </c>
      <c r="G6" s="10" t="s">
        <v>182</v>
      </c>
    </row>
    <row r="7" spans="1:7" ht="29.25">
      <c r="A7" s="10" t="s">
        <v>183</v>
      </c>
      <c r="B7" s="10" t="s">
        <v>184</v>
      </c>
      <c r="C7" s="10" t="s">
        <v>185</v>
      </c>
      <c r="D7" s="10" t="s">
        <v>186</v>
      </c>
      <c r="E7" s="10" t="s">
        <v>98</v>
      </c>
      <c r="F7" s="10" t="s">
        <v>187</v>
      </c>
      <c r="G7" s="10" t="s">
        <v>188</v>
      </c>
    </row>
    <row r="8" spans="1:7" ht="29.25">
      <c r="A8" s="10" t="s">
        <v>189</v>
      </c>
      <c r="B8" s="10" t="s">
        <v>190</v>
      </c>
      <c r="C8" s="10" t="s">
        <v>191</v>
      </c>
      <c r="D8" s="10" t="s">
        <v>192</v>
      </c>
      <c r="E8" s="10" t="s">
        <v>193</v>
      </c>
      <c r="F8" s="10" t="s">
        <v>194</v>
      </c>
      <c r="G8" s="10" t="s">
        <v>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9b1da4-26b6-4b72-8bac-1602c3581ecc">
      <Terms xmlns="http://schemas.microsoft.com/office/infopath/2007/PartnerControls"/>
    </lcf76f155ced4ddcb4097134ff3c332f>
    <TaxCatchAll xmlns="3e608ed0-5213-4dc3-bbc4-302361dd339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C595752E20A64D93E946CD1C4D8FDA" ma:contentTypeVersion="14" ma:contentTypeDescription="Create a new document." ma:contentTypeScope="" ma:versionID="b0f475d1d4f8f33912697bfa914df801">
  <xsd:schema xmlns:xsd="http://www.w3.org/2001/XMLSchema" xmlns:xs="http://www.w3.org/2001/XMLSchema" xmlns:p="http://schemas.microsoft.com/office/2006/metadata/properties" xmlns:ns2="8e9b1da4-26b6-4b72-8bac-1602c3581ecc" xmlns:ns3="3e608ed0-5213-4dc3-bbc4-302361dd3390" targetNamespace="http://schemas.microsoft.com/office/2006/metadata/properties" ma:root="true" ma:fieldsID="758ff99db2902a6bcd7a63111e1d2fbd" ns2:_="" ns3:_="">
    <xsd:import namespace="8e9b1da4-26b6-4b72-8bac-1602c3581ecc"/>
    <xsd:import namespace="3e608ed0-5213-4dc3-bbc4-302361dd33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b1da4-26b6-4b72-8bac-1602c3581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b90debd-ee09-4e04-a4c4-812a7ed26d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08ed0-5213-4dc3-bbc4-302361dd339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8a02726-b95e-463b-ae7d-da33e16eab74}" ma:internalName="TaxCatchAll" ma:showField="CatchAllData" ma:web="3e608ed0-5213-4dc3-bbc4-302361dd33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B4783C-4061-4945-8974-553ED9DD6454}"/>
</file>

<file path=customXml/itemProps2.xml><?xml version="1.0" encoding="utf-8"?>
<ds:datastoreItem xmlns:ds="http://schemas.openxmlformats.org/officeDocument/2006/customXml" ds:itemID="{256809E2-8CB2-45E3-A657-BB60A658694C}"/>
</file>

<file path=customXml/itemProps3.xml><?xml version="1.0" encoding="utf-8"?>
<ds:datastoreItem xmlns:ds="http://schemas.openxmlformats.org/officeDocument/2006/customXml" ds:itemID="{13241DF5-C793-4F03-B689-A7B895393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2025-09-24T17:57:57Z</dcterms:created>
  <dcterms:modified xsi:type="dcterms:W3CDTF">2026-05-10T21:23:12Z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0x01010096C595752E20A64D93E946CD1C4D8FDA</vt:lpwstr>
  </property>
  <property fmtid="{D5CDD505-2E9C-101B-9397-08002B2CF9AE}" pid="3" name="MediaServiceImageTags">
    <vt:lpwstr/>
  </property>
</Properties>
</file>